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93970FF6-000B-4DD7-9D6A-4668796FEB16}" xr6:coauthVersionLast="47" xr6:coauthVersionMax="47" xr10:uidLastSave="{00000000-0000-0000-0000-000000000000}"/>
  <bookViews>
    <workbookView xWindow="-120" yWindow="-120" windowWidth="38640" windowHeight="21240" activeTab="3" xr2:uid="{00000000-000D-0000-FFFF-FFFF00000000}"/>
  </bookViews>
  <sheets>
    <sheet name="Chi phí" sheetId="1" r:id="rId1"/>
    <sheet name="Sức khỏe" sheetId="2" r:id="rId2"/>
    <sheet name="Sheet3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4" l="1"/>
  <c r="C20" i="4"/>
</calcChain>
</file>

<file path=xl/sharedStrings.xml><?xml version="1.0" encoding="utf-8"?>
<sst xmlns="http://schemas.openxmlformats.org/spreadsheetml/2006/main" count="167" uniqueCount="128">
  <si>
    <t>Ngày</t>
  </si>
  <si>
    <t>26/01/2025 - 06/02/2025</t>
  </si>
  <si>
    <t>Con</t>
  </si>
  <si>
    <t>Vk</t>
  </si>
  <si>
    <t>Ck</t>
  </si>
  <si>
    <t>03/02/2025 - 06/02/2025</t>
  </si>
  <si>
    <t>Tiền kính</t>
  </si>
  <si>
    <t>Tiền thuốc</t>
  </si>
  <si>
    <t>26/01/2025</t>
  </si>
  <si>
    <t>Chi phí</t>
  </si>
  <si>
    <t>18/01/2025</t>
  </si>
  <si>
    <t>Tiến thuốc + khám</t>
  </si>
  <si>
    <t>Tiền điện</t>
  </si>
  <si>
    <t>GĐ</t>
  </si>
  <si>
    <t>Ốm, sốt</t>
  </si>
  <si>
    <t>Ốm, sổ mũi</t>
  </si>
  <si>
    <t>Tiền bàn học</t>
  </si>
  <si>
    <t>Phí</t>
  </si>
  <si>
    <t>22/2/2025</t>
  </si>
  <si>
    <t>Tiến khám 500
Tiền nội soi 1400</t>
  </si>
  <si>
    <t>Tiền thuốc + sữa</t>
  </si>
  <si>
    <t>20/02/2025 - 27/02/2025</t>
  </si>
  <si>
    <t>Ngạt mũi, ho</t>
  </si>
  <si>
    <t>14-18 độ</t>
  </si>
  <si>
    <t>Column1</t>
  </si>
  <si>
    <t>07/03/2025 - 13/03/2025</t>
  </si>
  <si>
    <t>Sốt, ho</t>
  </si>
  <si>
    <t>Hơi sổ mũi</t>
  </si>
  <si>
    <t>Bàn thờ</t>
  </si>
  <si>
    <t>16/3/2025</t>
  </si>
  <si>
    <t>Bát hương + tiền 1.5 triệu</t>
  </si>
  <si>
    <t>15/3/2025</t>
  </si>
  <si>
    <t>Đồ cúng</t>
  </si>
  <si>
    <t>30/3/2025</t>
  </si>
  <si>
    <t>Tiền biếu + Tiền đồ cúng</t>
  </si>
  <si>
    <t>16/03/2025 - 25/03/2025</t>
  </si>
  <si>
    <t>Năm Tài Chính</t>
  </si>
  <si>
    <t>Số tiền Nhà H</t>
  </si>
  <si>
    <t>Lãi Nhà H</t>
  </si>
  <si>
    <t>Số tiền Nhà L</t>
  </si>
  <si>
    <t>Lãi Nhà L</t>
  </si>
  <si>
    <t>Chênh lệch</t>
  </si>
  <si>
    <t>Tiết kiệm tháng Nhà H</t>
  </si>
  <si>
    <t>Tiết kiệm tháng Nhà L</t>
  </si>
  <si>
    <t>3,115,166,667 VND</t>
  </si>
  <si>
    <t>148,500,000 VND</t>
  </si>
  <si>
    <t>1,455,000,000 VND</t>
  </si>
  <si>
    <t>55,000,000 VND</t>
  </si>
  <si>
    <t>1,660,166,667 VND</t>
  </si>
  <si>
    <t>33,333,333 VND</t>
  </si>
  <si>
    <t>50,000,000 VND</t>
  </si>
  <si>
    <t>3,686,500,833 VND</t>
  </si>
  <si>
    <t>171,334,167 VND</t>
  </si>
  <si>
    <t>2,135,025,000 VND</t>
  </si>
  <si>
    <t>80,025,000 VND</t>
  </si>
  <si>
    <t>1,551,475,833 VND</t>
  </si>
  <si>
    <t>4,289,258,379 VND</t>
  </si>
  <si>
    <t>202,757,546 VND</t>
  </si>
  <si>
    <t>2,852,451,375 VND</t>
  </si>
  <si>
    <t>117,426,375 VND</t>
  </si>
  <si>
    <t>1,436,807,004 VND</t>
  </si>
  <si>
    <t>4,925,167,590 VND</t>
  </si>
  <si>
    <t>235,909,211 VND</t>
  </si>
  <si>
    <t>3,609,336,201 VND</t>
  </si>
  <si>
    <t>156,884,826 VND</t>
  </si>
  <si>
    <t>1,315,831,390 VND</t>
  </si>
  <si>
    <t>5,596,051,807 VND</t>
  </si>
  <si>
    <t>270,884,217 VND</t>
  </si>
  <si>
    <t>4,407,849,692 VND</t>
  </si>
  <si>
    <t>198,513,491 VND</t>
  </si>
  <si>
    <t>1,188,202,116 VND</t>
  </si>
  <si>
    <t>6,303,834,657 VND</t>
  </si>
  <si>
    <t>307,782,849 VND</t>
  </si>
  <si>
    <t>5,250,281,425 VND</t>
  </si>
  <si>
    <t>242,431,733 VND</t>
  </si>
  <si>
    <t>1,053,553,232 VND</t>
  </si>
  <si>
    <t>7,050,545,563 VND</t>
  </si>
  <si>
    <t>346,710,906 VND</t>
  </si>
  <si>
    <t>6,139,046,903 VND</t>
  </si>
  <si>
    <t>288,765,478 VND</t>
  </si>
  <si>
    <t>911,498,660 VND</t>
  </si>
  <si>
    <t>7,838,325,569 VND</t>
  </si>
  <si>
    <t>387,780,006 VND</t>
  </si>
  <si>
    <t>7,076,694,483 VND</t>
  </si>
  <si>
    <t>337,647,580 VND</t>
  </si>
  <si>
    <t>761,631,086 VND</t>
  </si>
  <si>
    <t>8,669,433,475 VND</t>
  </si>
  <si>
    <t>431,107,906 VND</t>
  </si>
  <si>
    <t>8,065,912,679 VND</t>
  </si>
  <si>
    <t>389,218,197 VND</t>
  </si>
  <si>
    <t>603,520,796 VND</t>
  </si>
  <si>
    <t>9,546,252,316 VND</t>
  </si>
  <si>
    <t>476,818,841 VND</t>
  </si>
  <si>
    <t>9,109,537,877 VND</t>
  </si>
  <si>
    <t>443,625,197 VND</t>
  </si>
  <si>
    <t>436,714,440 VND</t>
  </si>
  <si>
    <t>10,471,296,194 VND</t>
  </si>
  <si>
    <t>525,043,877 VND</t>
  </si>
  <si>
    <t>10,210,562,460 VND</t>
  </si>
  <si>
    <t>501,024,583 VND</t>
  </si>
  <si>
    <t>260,733,734 VND</t>
  </si>
  <si>
    <t>11,447,217,484 VND</t>
  </si>
  <si>
    <t>575,921,291 VND</t>
  </si>
  <si>
    <t>11,372,143,395 VND</t>
  </si>
  <si>
    <t>561,580,935 VND</t>
  </si>
  <si>
    <t>75,074,089 VND</t>
  </si>
  <si>
    <t>12,476,814,446 VND</t>
  </si>
  <si>
    <t>629,596,962 VND</t>
  </si>
  <si>
    <t>12,597,611,282 VND</t>
  </si>
  <si>
    <t>625,467,887 VND</t>
  </si>
  <si>
    <t>-120,796,835 VND</t>
  </si>
  <si>
    <t>21/07/2024</t>
  </si>
  <si>
    <t>Thay lốp trước</t>
  </si>
  <si>
    <t>Thay má phanh trước</t>
  </si>
  <si>
    <t>Thay má phanh sau</t>
  </si>
  <si>
    <t>Vá lốp</t>
  </si>
  <si>
    <t>Nước mát</t>
  </si>
  <si>
    <t>21/9/2024</t>
  </si>
  <si>
    <t>Thay dầu</t>
  </si>
  <si>
    <t>Ắc quy</t>
  </si>
  <si>
    <t>24/6/2025</t>
  </si>
  <si>
    <t>29/06/2025</t>
  </si>
  <si>
    <t>Bảo dưỡng toàn bộ</t>
  </si>
  <si>
    <t>Xử lý chân trống giữa</t>
  </si>
  <si>
    <t>Lọc gió</t>
  </si>
  <si>
    <t>Dây curoa (nối bánh sau)</t>
  </si>
  <si>
    <t>Bi côn trước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</si>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</sst>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2" borderId="2" xfId="0" applyFont="1" applyFill="1" applyBorder="1"/>
    <xf numFmtId="0" fontId="2" fillId="2" borderId="3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  <xf numFmtId="14" fontId="0" fillId="3" borderId="2" xfId="0" applyNumberFormat="1" applyFont="1" applyFill="1" applyBorder="1"/>
    <xf numFmtId="14" fontId="0" fillId="0" borderId="2" xfId="0" applyNumberFormat="1" applyFont="1" applyBorder="1"/>
    <xf numFmtId="14" fontId="0" fillId="0" borderId="1" xfId="0" applyNumberFormat="1" applyFont="1" applyBorder="1"/>
    <xf numFmtId="14" fontId="0" fillId="3" borderId="1" xfId="0" applyNumberFormat="1" applyFont="1" applyFill="1" applyBorder="1"/>
    <xf numFmtId="14" fontId="0" fillId="3" borderId="0" xfId="0" applyNumberFormat="1" applyFont="1" applyFill="1" applyBorder="1"/>
    <xf numFmtId="0" fontId="0" fillId="3" borderId="0" xfId="0" applyFont="1" applyFill="1" applyBorder="1"/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70" totalsRowShown="0">
  <autoFilter ref="A1:F70" xr:uid="{00000000-0009-0000-0100-000001000000}"/>
  <tableColumns count="6">
    <tableColumn id="1" xr3:uid="{00000000-0010-0000-0000-000001000000}" name="Ngày" dataDxfId="2"/>
    <tableColumn id="5" xr3:uid="{00000000-0010-0000-0000-000005000000}" name="Chi phí" dataDxfId="1"/>
    <tableColumn id="2" xr3:uid="{00000000-0010-0000-0000-000002000000}" name="Ck"/>
    <tableColumn id="3" xr3:uid="{00000000-0010-0000-0000-000003000000}" name="Vk"/>
    <tableColumn id="4" xr3:uid="{00000000-0010-0000-0000-000004000000}" name="Con"/>
    <tableColumn id="6" xr3:uid="{00000000-0010-0000-0000-000006000000}" name="GĐ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E8" totalsRowShown="0">
  <autoFilter ref="A1:E8" xr:uid="{00000000-0009-0000-0100-000002000000}"/>
  <tableColumns count="5">
    <tableColumn id="1" xr3:uid="{00000000-0010-0000-0100-000001000000}" name="Ngày" dataDxfId="0"/>
    <tableColumn id="2" xr3:uid="{00000000-0010-0000-0100-000002000000}" name="Ck"/>
    <tableColumn id="3" xr3:uid="{00000000-0010-0000-0100-000003000000}" name="Vk"/>
    <tableColumn id="4" xr3:uid="{00000000-0010-0000-0100-000004000000}" name="Con"/>
    <tableColumn id="5" xr3:uid="{00000000-0010-0000-0100-00000500000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workbookViewId="0">
      <selection sqref="A1:F15"/>
    </sheetView>
  </sheetViews>
  <sheetFormatPr defaultRowHeight="15" x14ac:dyDescent="0.25"/>
  <cols>
    <col min="1" max="1" width="11" customWidth="1"/>
    <col min="2" max="2" width="17.42578125" customWidth="1"/>
    <col min="3" max="4" width="11" customWidth="1"/>
  </cols>
  <sheetData>
    <row r="1" spans="1:6" x14ac:dyDescent="0.25">
      <c r="A1" s="1" t="s">
        <v>0</v>
      </c>
      <c r="B1" s="1" t="s">
        <v>9</v>
      </c>
      <c r="C1" t="s">
        <v>4</v>
      </c>
      <c r="D1" t="s">
        <v>3</v>
      </c>
      <c r="E1" t="s">
        <v>2</v>
      </c>
      <c r="F1" t="s">
        <v>13</v>
      </c>
    </row>
    <row r="2" spans="1:6" x14ac:dyDescent="0.25">
      <c r="A2" t="s">
        <v>10</v>
      </c>
      <c r="B2" s="1" t="s">
        <v>11</v>
      </c>
      <c r="D2">
        <v>10000</v>
      </c>
    </row>
    <row r="3" spans="1:6" x14ac:dyDescent="0.25">
      <c r="A3" t="s">
        <v>8</v>
      </c>
      <c r="B3" s="1" t="s">
        <v>6</v>
      </c>
      <c r="C3">
        <v>700</v>
      </c>
      <c r="D3">
        <v>600</v>
      </c>
      <c r="E3">
        <v>300</v>
      </c>
    </row>
    <row r="4" spans="1:6" x14ac:dyDescent="0.25">
      <c r="B4" s="1" t="s">
        <v>7</v>
      </c>
      <c r="E4">
        <v>1000</v>
      </c>
    </row>
    <row r="5" spans="1:6" x14ac:dyDescent="0.25">
      <c r="A5" s="1">
        <v>45779</v>
      </c>
      <c r="B5" s="1" t="s">
        <v>7</v>
      </c>
      <c r="C5">
        <v>100</v>
      </c>
    </row>
    <row r="6" spans="1:6" x14ac:dyDescent="0.25">
      <c r="A6" s="1">
        <v>45810</v>
      </c>
      <c r="B6" s="1" t="s">
        <v>12</v>
      </c>
      <c r="F6">
        <v>400</v>
      </c>
    </row>
    <row r="7" spans="1:6" x14ac:dyDescent="0.25">
      <c r="A7" s="1">
        <v>45840</v>
      </c>
      <c r="B7" s="1" t="s">
        <v>6</v>
      </c>
      <c r="E7">
        <v>1200</v>
      </c>
    </row>
    <row r="8" spans="1:6" x14ac:dyDescent="0.25">
      <c r="B8" s="1" t="s">
        <v>16</v>
      </c>
      <c r="E8">
        <v>1800</v>
      </c>
    </row>
    <row r="9" spans="1:6" x14ac:dyDescent="0.25">
      <c r="B9" s="1" t="s">
        <v>17</v>
      </c>
      <c r="C9">
        <v>500</v>
      </c>
    </row>
    <row r="10" spans="1:6" ht="30" x14ac:dyDescent="0.25">
      <c r="A10" t="s">
        <v>18</v>
      </c>
      <c r="B10" s="2" t="s">
        <v>19</v>
      </c>
      <c r="C10">
        <v>1900</v>
      </c>
    </row>
    <row r="11" spans="1:6" x14ac:dyDescent="0.25">
      <c r="B11" s="1" t="s">
        <v>20</v>
      </c>
      <c r="C11">
        <v>2000</v>
      </c>
    </row>
    <row r="12" spans="1:6" x14ac:dyDescent="0.25">
      <c r="A12" s="1">
        <v>45841</v>
      </c>
      <c r="B12" s="1" t="s">
        <v>28</v>
      </c>
      <c r="F12">
        <v>4200</v>
      </c>
    </row>
    <row r="13" spans="1:6" x14ac:dyDescent="0.25">
      <c r="A13" t="s">
        <v>31</v>
      </c>
      <c r="B13" s="1" t="s">
        <v>30</v>
      </c>
      <c r="F13">
        <v>3800</v>
      </c>
    </row>
    <row r="14" spans="1:6" x14ac:dyDescent="0.25">
      <c r="A14" t="s">
        <v>29</v>
      </c>
      <c r="B14" s="1" t="s">
        <v>32</v>
      </c>
      <c r="F14">
        <v>1000</v>
      </c>
    </row>
    <row r="15" spans="1:6" x14ac:dyDescent="0.25">
      <c r="A15" t="s">
        <v>33</v>
      </c>
      <c r="B15" s="1" t="s">
        <v>34</v>
      </c>
      <c r="F15">
        <v>5000</v>
      </c>
    </row>
    <row r="16" spans="1:6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D6" sqref="D6"/>
    </sheetView>
  </sheetViews>
  <sheetFormatPr defaultRowHeight="15" x14ac:dyDescent="0.25"/>
  <cols>
    <col min="1" max="1" width="38.85546875" customWidth="1"/>
    <col min="4" max="4" width="33.42578125" customWidth="1"/>
  </cols>
  <sheetData>
    <row r="1" spans="1:5" x14ac:dyDescent="0.25">
      <c r="A1" s="1" t="s">
        <v>0</v>
      </c>
      <c r="B1" t="s">
        <v>4</v>
      </c>
      <c r="C1" t="s">
        <v>3</v>
      </c>
      <c r="D1" t="s">
        <v>2</v>
      </c>
      <c r="E1" t="s">
        <v>24</v>
      </c>
    </row>
    <row r="2" spans="1:5" x14ac:dyDescent="0.25">
      <c r="A2" t="s">
        <v>1</v>
      </c>
      <c r="D2" t="s">
        <v>14</v>
      </c>
    </row>
    <row r="3" spans="1:5" x14ac:dyDescent="0.25">
      <c r="A3" t="s">
        <v>5</v>
      </c>
      <c r="B3" t="s">
        <v>15</v>
      </c>
    </row>
    <row r="4" spans="1:5" x14ac:dyDescent="0.25">
      <c r="A4" t="s">
        <v>21</v>
      </c>
      <c r="D4" t="s">
        <v>22</v>
      </c>
    </row>
    <row r="5" spans="1:5" x14ac:dyDescent="0.25">
      <c r="A5" t="s">
        <v>25</v>
      </c>
      <c r="D5" t="s">
        <v>26</v>
      </c>
      <c r="E5" t="s">
        <v>23</v>
      </c>
    </row>
    <row r="6" spans="1:5" x14ac:dyDescent="0.25">
      <c r="A6" t="s">
        <v>35</v>
      </c>
      <c r="C6" t="s">
        <v>27</v>
      </c>
      <c r="D6" t="s">
        <v>22</v>
      </c>
      <c r="E6" t="s">
        <v>23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F1" sqref="F1:H14"/>
    </sheetView>
  </sheetViews>
  <sheetFormatPr defaultRowHeight="15" x14ac:dyDescent="0.25"/>
  <cols>
    <col min="1" max="1" width="8.140625" bestFit="1" customWidth="1"/>
    <col min="2" max="2" width="18.42578125" bestFit="1" customWidth="1"/>
    <col min="3" max="3" width="15.7109375" bestFit="1" customWidth="1"/>
    <col min="4" max="4" width="18.42578125" bestFit="1" customWidth="1"/>
    <col min="5" max="5" width="15.7109375" bestFit="1" customWidth="1"/>
    <col min="6" max="6" width="17.42578125" bestFit="1" customWidth="1"/>
    <col min="7" max="7" width="14.85546875" bestFit="1" customWidth="1"/>
    <col min="8" max="8" width="19" bestFit="1" customWidth="1"/>
  </cols>
  <sheetData>
    <row r="1" spans="1:8" ht="30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42</v>
      </c>
      <c r="G1" s="3" t="s">
        <v>43</v>
      </c>
      <c r="H1" s="3" t="s">
        <v>41</v>
      </c>
    </row>
    <row r="2" spans="1:8" x14ac:dyDescent="0.25">
      <c r="A2" s="4">
        <v>2025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49</v>
      </c>
      <c r="G2" s="4" t="s">
        <v>50</v>
      </c>
      <c r="H2" s="4" t="s">
        <v>48</v>
      </c>
    </row>
    <row r="3" spans="1:8" x14ac:dyDescent="0.25">
      <c r="A3" s="4">
        <v>2026</v>
      </c>
      <c r="B3" s="4" t="s">
        <v>51</v>
      </c>
      <c r="C3" s="4" t="s">
        <v>52</v>
      </c>
      <c r="D3" s="4" t="s">
        <v>53</v>
      </c>
      <c r="E3" s="4" t="s">
        <v>54</v>
      </c>
      <c r="F3" s="4" t="s">
        <v>49</v>
      </c>
      <c r="G3" s="4" t="s">
        <v>50</v>
      </c>
      <c r="H3" s="4" t="s">
        <v>55</v>
      </c>
    </row>
    <row r="4" spans="1:8" x14ac:dyDescent="0.25">
      <c r="A4" s="4">
        <v>2027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49</v>
      </c>
      <c r="G4" s="4" t="s">
        <v>50</v>
      </c>
      <c r="H4" s="4" t="s">
        <v>60</v>
      </c>
    </row>
    <row r="5" spans="1:8" x14ac:dyDescent="0.25">
      <c r="A5" s="4">
        <v>2028</v>
      </c>
      <c r="B5" s="4" t="s">
        <v>61</v>
      </c>
      <c r="C5" s="4" t="s">
        <v>62</v>
      </c>
      <c r="D5" s="4" t="s">
        <v>63</v>
      </c>
      <c r="E5" s="4" t="s">
        <v>64</v>
      </c>
      <c r="F5" s="4" t="s">
        <v>49</v>
      </c>
      <c r="G5" s="4" t="s">
        <v>50</v>
      </c>
      <c r="H5" s="4" t="s">
        <v>65</v>
      </c>
    </row>
    <row r="6" spans="1:8" x14ac:dyDescent="0.25">
      <c r="A6" s="4">
        <v>2029</v>
      </c>
      <c r="B6" s="4" t="s">
        <v>66</v>
      </c>
      <c r="C6" s="4" t="s">
        <v>67</v>
      </c>
      <c r="D6" s="4" t="s">
        <v>68</v>
      </c>
      <c r="E6" s="4" t="s">
        <v>69</v>
      </c>
      <c r="F6" s="4" t="s">
        <v>49</v>
      </c>
      <c r="G6" s="4" t="s">
        <v>50</v>
      </c>
      <c r="H6" s="4" t="s">
        <v>70</v>
      </c>
    </row>
    <row r="7" spans="1:8" x14ac:dyDescent="0.25">
      <c r="A7" s="4">
        <v>2030</v>
      </c>
      <c r="B7" s="4" t="s">
        <v>71</v>
      </c>
      <c r="C7" s="4" t="s">
        <v>72</v>
      </c>
      <c r="D7" s="4" t="s">
        <v>73</v>
      </c>
      <c r="E7" s="4" t="s">
        <v>74</v>
      </c>
      <c r="F7" s="4" t="s">
        <v>49</v>
      </c>
      <c r="G7" s="4" t="s">
        <v>50</v>
      </c>
      <c r="H7" s="4" t="s">
        <v>75</v>
      </c>
    </row>
    <row r="8" spans="1:8" x14ac:dyDescent="0.25">
      <c r="A8" s="4">
        <v>2031</v>
      </c>
      <c r="B8" s="4" t="s">
        <v>76</v>
      </c>
      <c r="C8" s="4" t="s">
        <v>77</v>
      </c>
      <c r="D8" s="4" t="s">
        <v>78</v>
      </c>
      <c r="E8" s="4" t="s">
        <v>79</v>
      </c>
      <c r="F8" s="4" t="s">
        <v>49</v>
      </c>
      <c r="G8" s="4" t="s">
        <v>50</v>
      </c>
      <c r="H8" s="4" t="s">
        <v>80</v>
      </c>
    </row>
    <row r="9" spans="1:8" x14ac:dyDescent="0.25">
      <c r="A9" s="4">
        <v>2032</v>
      </c>
      <c r="B9" s="4" t="s">
        <v>81</v>
      </c>
      <c r="C9" s="4" t="s">
        <v>82</v>
      </c>
      <c r="D9" s="4" t="s">
        <v>83</v>
      </c>
      <c r="E9" s="4" t="s">
        <v>84</v>
      </c>
      <c r="F9" s="4" t="s">
        <v>49</v>
      </c>
      <c r="G9" s="4" t="s">
        <v>50</v>
      </c>
      <c r="H9" s="4" t="s">
        <v>85</v>
      </c>
    </row>
    <row r="10" spans="1:8" x14ac:dyDescent="0.25">
      <c r="A10" s="4">
        <v>2033</v>
      </c>
      <c r="B10" s="4" t="s">
        <v>86</v>
      </c>
      <c r="C10" s="4" t="s">
        <v>87</v>
      </c>
      <c r="D10" s="4" t="s">
        <v>88</v>
      </c>
      <c r="E10" s="4" t="s">
        <v>89</v>
      </c>
      <c r="F10" s="4" t="s">
        <v>49</v>
      </c>
      <c r="G10" s="4" t="s">
        <v>50</v>
      </c>
      <c r="H10" s="4" t="s">
        <v>90</v>
      </c>
    </row>
    <row r="11" spans="1:8" x14ac:dyDescent="0.25">
      <c r="A11" s="4">
        <v>2034</v>
      </c>
      <c r="B11" s="4" t="s">
        <v>91</v>
      </c>
      <c r="C11" s="4" t="s">
        <v>92</v>
      </c>
      <c r="D11" s="4" t="s">
        <v>93</v>
      </c>
      <c r="E11" s="4" t="s">
        <v>94</v>
      </c>
      <c r="F11" s="4" t="s">
        <v>49</v>
      </c>
      <c r="G11" s="4" t="s">
        <v>50</v>
      </c>
      <c r="H11" s="4" t="s">
        <v>95</v>
      </c>
    </row>
    <row r="12" spans="1:8" x14ac:dyDescent="0.25">
      <c r="A12" s="4">
        <v>2035</v>
      </c>
      <c r="B12" s="4" t="s">
        <v>96</v>
      </c>
      <c r="C12" s="4" t="s">
        <v>97</v>
      </c>
      <c r="D12" s="4" t="s">
        <v>98</v>
      </c>
      <c r="E12" s="4" t="s">
        <v>99</v>
      </c>
      <c r="F12" s="4" t="s">
        <v>49</v>
      </c>
      <c r="G12" s="4" t="s">
        <v>50</v>
      </c>
      <c r="H12" s="4" t="s">
        <v>100</v>
      </c>
    </row>
    <row r="13" spans="1:8" x14ac:dyDescent="0.25">
      <c r="A13" s="4">
        <v>2036</v>
      </c>
      <c r="B13" s="4" t="s">
        <v>101</v>
      </c>
      <c r="C13" s="4" t="s">
        <v>102</v>
      </c>
      <c r="D13" s="4" t="s">
        <v>103</v>
      </c>
      <c r="E13" s="4" t="s">
        <v>104</v>
      </c>
      <c r="F13" s="4" t="s">
        <v>49</v>
      </c>
      <c r="G13" s="4" t="s">
        <v>50</v>
      </c>
      <c r="H13" s="4" t="s">
        <v>105</v>
      </c>
    </row>
    <row r="14" spans="1:8" x14ac:dyDescent="0.25">
      <c r="A14" s="4">
        <v>2037</v>
      </c>
      <c r="B14" s="4" t="s">
        <v>106</v>
      </c>
      <c r="C14" s="4" t="s">
        <v>107</v>
      </c>
      <c r="D14" s="4" t="s">
        <v>108</v>
      </c>
      <c r="E14" s="4" t="s">
        <v>109</v>
      </c>
      <c r="F14" s="4" t="s">
        <v>49</v>
      </c>
      <c r="G14" s="4" t="s">
        <v>50</v>
      </c>
      <c r="H14" s="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C067-74A5-441E-AD17-92EEB2F98166}">
  <dimension ref="A1:F20"/>
  <sheetViews>
    <sheetView tabSelected="1" workbookViewId="0">
      <selection activeCell="D21" sqref="D21"/>
    </sheetView>
  </sheetViews>
  <sheetFormatPr defaultRowHeight="15" x14ac:dyDescent="0.25"/>
  <cols>
    <col min="1" max="1" width="10.7109375" bestFit="1" customWidth="1"/>
    <col min="2" max="2" width="23.7109375" bestFit="1" customWidth="1"/>
    <col min="3" max="3" width="8.42578125" bestFit="1" customWidth="1"/>
    <col min="4" max="4" width="6" bestFit="1" customWidth="1"/>
    <col min="5" max="6" width="5" bestFit="1" customWidth="1"/>
  </cols>
  <sheetData>
    <row r="1" spans="1:6" x14ac:dyDescent="0.25">
      <c r="A1" s="14" t="s">
        <v>0</v>
      </c>
      <c r="B1" s="15" t="s">
        <v>9</v>
      </c>
      <c r="C1" s="6" t="s">
        <v>4</v>
      </c>
      <c r="D1" s="6" t="s">
        <v>3</v>
      </c>
      <c r="E1" s="6"/>
      <c r="F1" s="7"/>
    </row>
    <row r="2" spans="1:6" x14ac:dyDescent="0.25">
      <c r="A2" s="8" t="s">
        <v>111</v>
      </c>
      <c r="B2" s="16" t="s">
        <v>112</v>
      </c>
      <c r="C2" s="9">
        <v>460</v>
      </c>
      <c r="D2" s="9"/>
      <c r="E2" s="9"/>
      <c r="F2" s="10"/>
    </row>
    <row r="3" spans="1:6" x14ac:dyDescent="0.25">
      <c r="A3" s="18">
        <v>45541</v>
      </c>
      <c r="B3" s="17" t="s">
        <v>113</v>
      </c>
      <c r="C3" s="12">
        <v>125</v>
      </c>
      <c r="D3" s="12"/>
      <c r="E3" s="12"/>
      <c r="F3" s="13"/>
    </row>
    <row r="4" spans="1:6" x14ac:dyDescent="0.25">
      <c r="A4" s="8"/>
      <c r="B4" s="16" t="s">
        <v>114</v>
      </c>
      <c r="C4" s="9">
        <v>210</v>
      </c>
      <c r="D4" s="9"/>
      <c r="E4" s="9"/>
      <c r="F4" s="10"/>
    </row>
    <row r="5" spans="1:6" x14ac:dyDescent="0.25">
      <c r="A5" s="18"/>
      <c r="B5" s="17" t="s">
        <v>115</v>
      </c>
      <c r="C5" s="12">
        <v>60</v>
      </c>
      <c r="D5" s="12"/>
      <c r="E5" s="12"/>
      <c r="F5" s="13"/>
    </row>
    <row r="6" spans="1:6" x14ac:dyDescent="0.25">
      <c r="A6" s="19"/>
      <c r="B6" s="16" t="s">
        <v>116</v>
      </c>
      <c r="C6" s="9">
        <v>30</v>
      </c>
      <c r="D6" s="9"/>
      <c r="E6" s="9"/>
      <c r="F6" s="10"/>
    </row>
    <row r="7" spans="1:6" x14ac:dyDescent="0.25">
      <c r="A7" s="18" t="s">
        <v>117</v>
      </c>
      <c r="B7" s="17" t="s">
        <v>118</v>
      </c>
      <c r="C7" s="12">
        <v>100</v>
      </c>
      <c r="D7" s="12">
        <v>100</v>
      </c>
      <c r="E7" s="12"/>
      <c r="F7" s="13"/>
    </row>
    <row r="8" spans="1:6" x14ac:dyDescent="0.25">
      <c r="A8" s="8"/>
      <c r="B8" s="16" t="s">
        <v>119</v>
      </c>
      <c r="C8" s="9">
        <v>370</v>
      </c>
      <c r="D8" s="9"/>
      <c r="E8" s="9"/>
      <c r="F8" s="10"/>
    </row>
    <row r="9" spans="1:6" x14ac:dyDescent="0.25">
      <c r="A9" s="18" t="s">
        <v>120</v>
      </c>
      <c r="B9" s="17" t="s">
        <v>118</v>
      </c>
      <c r="C9" s="12">
        <v>110</v>
      </c>
      <c r="D9" s="12"/>
      <c r="E9" s="12"/>
      <c r="F9" s="13"/>
    </row>
    <row r="10" spans="1:6" x14ac:dyDescent="0.25">
      <c r="A10" s="8"/>
      <c r="B10" s="16" t="s">
        <v>116</v>
      </c>
      <c r="C10" s="9">
        <v>50</v>
      </c>
      <c r="D10" s="9"/>
      <c r="E10" s="9"/>
      <c r="F10" s="10"/>
    </row>
    <row r="11" spans="1:6" x14ac:dyDescent="0.25">
      <c r="B11" s="16" t="s">
        <v>114</v>
      </c>
      <c r="C11" s="12">
        <v>180</v>
      </c>
      <c r="D11" s="12"/>
      <c r="E11" s="12"/>
      <c r="F11" s="13"/>
    </row>
    <row r="12" spans="1:6" x14ac:dyDescent="0.25">
      <c r="A12" s="11" t="s">
        <v>121</v>
      </c>
      <c r="B12" s="16" t="s">
        <v>122</v>
      </c>
      <c r="C12" s="9">
        <v>200</v>
      </c>
      <c r="D12" s="9"/>
      <c r="E12" s="9"/>
      <c r="F12" s="10"/>
    </row>
    <row r="13" spans="1:6" x14ac:dyDescent="0.25">
      <c r="A13" s="11"/>
      <c r="B13" s="17" t="s">
        <v>123</v>
      </c>
      <c r="C13" s="12">
        <v>200</v>
      </c>
      <c r="D13" s="12"/>
      <c r="E13" s="12"/>
      <c r="F13" s="13"/>
    </row>
    <row r="14" spans="1:6" x14ac:dyDescent="0.25">
      <c r="A14" s="8"/>
      <c r="B14" s="16" t="s">
        <v>124</v>
      </c>
      <c r="C14" s="9">
        <v>120</v>
      </c>
      <c r="D14" s="9"/>
      <c r="E14" s="9"/>
      <c r="F14" s="10"/>
    </row>
    <row r="15" spans="1:6" x14ac:dyDescent="0.25">
      <c r="A15" s="11"/>
      <c r="B15" s="17" t="s">
        <v>125</v>
      </c>
      <c r="C15" s="12">
        <v>550</v>
      </c>
      <c r="D15" s="12"/>
      <c r="E15" s="12"/>
      <c r="F15" s="13"/>
    </row>
    <row r="16" spans="1:6" x14ac:dyDescent="0.25">
      <c r="B16" s="20" t="s">
        <v>126</v>
      </c>
      <c r="C16" s="21">
        <v>200</v>
      </c>
    </row>
    <row r="20" spans="1:4" x14ac:dyDescent="0.25">
      <c r="A20" t="s">
        <v>127</v>
      </c>
      <c r="C20">
        <f>SUM(C1:C19)</f>
        <v>2965</v>
      </c>
      <c r="D20">
        <f>SUM(D1:D19)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phí</vt:lpstr>
      <vt:lpstr>Sức khỏe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2025-06-29T08:54:10Z</dcterms:modified>
</cp:coreProperties>
</file>